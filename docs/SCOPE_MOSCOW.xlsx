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use" sheetId="1" state="visible" r:id="rId1"/>
    <sheet name="Scope" sheetId="2" state="visible" r:id="rId2"/>
    <sheet name="Summary" sheetId="3" state="visible" r:id="rId3"/>
  </sheets>
  <definedNames>
    <definedName name="_xlnm._FilterDatabase" localSheetId="1" hidden="1">'Scope'!$A$1:$H$300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A4A5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9" fontId="2" fillId="0" borderId="0" pivotButton="0" quotePrefix="0" xfId="0"/>
    <xf numFmtId="0" fontId="5" fillId="0" borderId="0" pivotButton="0" quotePrefix="0" xfId="0"/>
    <xf numFmtId="9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4CCCC"/>
          <bgColor rgb="00F4CCCC"/>
        </patternFill>
      </fill>
    </dxf>
    <dxf>
      <fill>
        <patternFill patternType="solid">
          <fgColor rgb="00FCE5CD"/>
          <bgColor rgb="00FCE5CD"/>
        </patternFill>
      </fill>
    </dxf>
    <dxf>
      <fill>
        <patternFill patternType="solid">
          <fgColor rgb="00D9EAD3"/>
          <bgColor rgb="00D9EAD3"/>
        </patternFill>
      </fill>
    </dxf>
    <dxf>
      <fill>
        <patternFill patternType="solid">
          <fgColor rgb="00E0E0E0"/>
          <bgColor rgb="00E0E0E0"/>
        </patternFill>
      </fill>
    </dxf>
    <dxf>
      <font>
        <name val="Arial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H1" authorId="0" shapeId="0">
      <text>
        <t>Owner = decided by the owner. Claude (proposed) = a suggestion awaiting the owner's call: promote, demote or delete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Voxistics scope (MoSCoW)</t>
        </is>
      </c>
    </row>
    <row r="2">
      <c r="A2" s="2" t="inlineStr"/>
    </row>
    <row r="3">
      <c r="A3" s="3" t="inlineStr">
        <is>
          <t>Horizon (edit this): the next playable build -- a world you can build in, decorate and hear, with item logistics decided.</t>
        </is>
      </c>
    </row>
    <row r="4">
      <c r="A4" s="2" t="inlineStr"/>
    </row>
    <row r="5">
      <c r="A5" s="2" t="inlineStr">
        <is>
          <t>Must -- the horizon fails without it.</t>
        </is>
      </c>
    </row>
    <row r="6">
      <c r="A6" s="2" t="inlineStr">
        <is>
          <t>Should -- important, but the horizon still works without it.</t>
        </is>
      </c>
    </row>
    <row r="7">
      <c r="A7" s="2" t="inlineStr">
        <is>
          <t>Could -- nice to have if it's cheap; first to drop.</t>
        </is>
      </c>
    </row>
    <row r="8">
      <c r="A8" s="2" t="inlineStr">
        <is>
          <t>Won't -- not this horizon (parked, not rejected). The dev pile lives here.</t>
        </is>
      </c>
    </row>
    <row r="9">
      <c r="A9" s="2" t="inlineStr"/>
    </row>
    <row r="10">
      <c r="A10" s="4" t="inlineStr">
        <is>
          <t>How we use it</t>
        </is>
      </c>
    </row>
    <row r="11">
      <c r="A11" s="2" t="inlineStr">
        <is>
          <t>1. Before new work starts, it needs a row here. New ideas enter as Could or Won't unless the owner says otherwise.</t>
        </is>
      </c>
    </row>
    <row r="12">
      <c r="A12" s="2" t="inlineStr">
        <is>
          <t>2. Only the owner sets Must. Claude's suggestions say 'Claude (proposed)' in Decided by until the owner decides.</t>
        </is>
      </c>
    </row>
    <row r="13">
      <c r="A13" s="2" t="inlineStr">
        <is>
          <t>3. Priority and Status are drop-downs; Summary counts update by themselves.</t>
        </is>
      </c>
    </row>
    <row r="14">
      <c r="A14" s="2" t="inlineStr">
        <is>
          <t>4. Add a row at the bottom of Scope with the next ID (S040, S041, ...). Example: S040 | Audio | Footstep volume option | Could | Not started | Only if footfalls stay | 10.4 | Owner</t>
        </is>
      </c>
    </row>
    <row r="15">
      <c r="A15" s="2" t="inlineStr">
        <is>
          <t>5. When a horizon ships, move its Won'ts up for review and set a new horizon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58" customWidth="1" min="3" max="3"/>
    <col width="11" customWidth="1" min="4" max="4"/>
    <col width="13" customWidth="1" min="5" max="5"/>
    <col width="52" customWidth="1" min="6" max="6"/>
    <col width="13" customWidth="1" min="7" max="7"/>
    <col width="17" customWidth="1" min="8" max="8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Item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Notes / boundary</t>
        </is>
      </c>
      <c r="G1" s="5" t="inlineStr">
        <is>
          <t>Design ref</t>
        </is>
      </c>
      <c r="H1" s="5" t="inlineStr">
        <is>
          <t>Decided by</t>
        </is>
      </c>
    </row>
    <row r="2">
      <c r="A2" s="6" t="inlineStr">
        <is>
          <t>S001</t>
        </is>
      </c>
      <c r="B2" s="6" t="inlineStr">
        <is>
          <t>Engine</t>
        </is>
      </c>
      <c r="C2" s="6" t="inlineStr">
        <is>
          <t>Chunked world, streaming, eviction, regeneration</t>
        </is>
      </c>
      <c r="D2" s="6" t="inlineStr">
        <is>
          <t>Must</t>
        </is>
      </c>
      <c r="E2" s="6" t="inlineStr">
        <is>
          <t>Done</t>
        </is>
      </c>
      <c r="F2" s="6" t="inlineStr"/>
      <c r="G2" s="6" t="inlineStr">
        <is>
          <t>Part II</t>
        </is>
      </c>
      <c r="H2" s="6" t="inlineStr">
        <is>
          <t>Owner</t>
        </is>
      </c>
    </row>
    <row r="3">
      <c r="A3" s="6" t="inlineStr">
        <is>
          <t>S002</t>
        </is>
      </c>
      <c r="B3" s="6" t="inlineStr">
        <is>
          <t>Engine</t>
        </is>
      </c>
      <c r="C3" s="6" t="inlineStr">
        <is>
          <t>Save/load: slots, autosave, backups, settings file</t>
        </is>
      </c>
      <c r="D3" s="6" t="inlineStr">
        <is>
          <t>Must</t>
        </is>
      </c>
      <c r="E3" s="6" t="inlineStr">
        <is>
          <t>Done</t>
        </is>
      </c>
      <c r="F3" s="6" t="inlineStr"/>
      <c r="G3" s="6" t="inlineStr">
        <is>
          <t>Part VII</t>
        </is>
      </c>
      <c r="H3" s="6" t="inlineStr">
        <is>
          <t>Owner</t>
        </is>
      </c>
    </row>
    <row r="4">
      <c r="A4" s="6" t="inlineStr">
        <is>
          <t>S003</t>
        </is>
      </c>
      <c r="B4" s="6" t="inlineStr">
        <is>
          <t>Engine</t>
        </is>
      </c>
      <c r="C4" s="6" t="inlineStr">
        <is>
          <t>Native tests + frame profiler (F3)</t>
        </is>
      </c>
      <c r="D4" s="6" t="inlineStr">
        <is>
          <t>Must</t>
        </is>
      </c>
      <c r="E4" s="6" t="inlineStr">
        <is>
          <t>Done</t>
        </is>
      </c>
      <c r="F4" s="6" t="inlineStr">
        <is>
          <t>Every change keeps tests at zero failures</t>
        </is>
      </c>
      <c r="G4" s="6" t="inlineStr">
        <is>
          <t>Parts XVI-XVII</t>
        </is>
      </c>
      <c r="H4" s="6" t="inlineStr">
        <is>
          <t>Owner</t>
        </is>
      </c>
    </row>
    <row r="5">
      <c r="A5" s="6" t="inlineStr">
        <is>
          <t>S004</t>
        </is>
      </c>
      <c r="B5" s="6" t="inlineStr">
        <is>
          <t>Engine</t>
        </is>
      </c>
      <c r="C5" s="6" t="inlineStr">
        <is>
          <t>Lagless rule: cost scales with what's on screen or changing</t>
        </is>
      </c>
      <c r="D5" s="6" t="inlineStr">
        <is>
          <t>Must</t>
        </is>
      </c>
      <c r="E5" s="6" t="inlineStr">
        <is>
          <t>In progress</t>
        </is>
      </c>
      <c r="F5" s="6" t="inlineStr">
        <is>
          <t>Standing rule, never 'done'</t>
        </is>
      </c>
      <c r="G5" s="6" t="inlineStr">
        <is>
          <t>CLAUDE.md</t>
        </is>
      </c>
      <c r="H5" s="6" t="inlineStr">
        <is>
          <t>Owner</t>
        </is>
      </c>
    </row>
    <row r="6">
      <c r="A6" s="6" t="inlineStr">
        <is>
          <t>S005</t>
        </is>
      </c>
      <c r="B6" s="6" t="inlineStr">
        <is>
          <t>Engine</t>
        </is>
      </c>
      <c r="C6" s="6" t="inlineStr">
        <is>
          <t>Release-build performance check on the owner's PC</t>
        </is>
      </c>
      <c r="D6" s="6" t="inlineStr">
        <is>
          <t>Should</t>
        </is>
      </c>
      <c r="E6" s="6" t="inlineStr">
        <is>
          <t>Not started</t>
        </is>
      </c>
      <c r="F6" s="6" t="inlineStr">
        <is>
          <t>The Ctrl+F3 report tool exists (perf_report.txt); running the check awaits the owner</t>
        </is>
      </c>
      <c r="G6" s="6" t="inlineStr">
        <is>
          <t>Part XVI</t>
        </is>
      </c>
      <c r="H6" s="6" t="inlineStr">
        <is>
          <t>Claude (proposed)</t>
        </is>
      </c>
    </row>
    <row r="7">
      <c r="A7" s="6" t="inlineStr">
        <is>
          <t>S006</t>
        </is>
      </c>
      <c r="B7" s="6" t="inlineStr">
        <is>
          <t>Blocks &amp; art</t>
        </is>
      </c>
      <c r="C7" s="6" t="inlineStr">
        <is>
          <t>Block registry, shapes, 32 px materials with normal/shine/glow maps</t>
        </is>
      </c>
      <c r="D7" s="6" t="inlineStr">
        <is>
          <t>Must</t>
        </is>
      </c>
      <c r="E7" s="6" t="inlineStr">
        <is>
          <t>Done</t>
        </is>
      </c>
      <c r="F7" s="6" t="inlineStr">
        <is>
          <t>32 px chosen by owner</t>
        </is>
      </c>
      <c r="G7" s="6" t="inlineStr">
        <is>
          <t>4.3, 4.13</t>
        </is>
      </c>
      <c r="H7" s="6" t="inlineStr">
        <is>
          <t>Owner</t>
        </is>
      </c>
    </row>
    <row r="8">
      <c r="A8" s="6" t="inlineStr">
        <is>
          <t>S007</t>
        </is>
      </c>
      <c r="B8" s="6" t="inlineStr">
        <is>
          <t>Blocks &amp; art</t>
        </is>
      </c>
      <c r="C8" s="6" t="inlineStr">
        <is>
          <t>Natural, dark, genesis and custodian material sets</t>
        </is>
      </c>
      <c r="D8" s="6" t="inlineStr">
        <is>
          <t>Must</t>
        </is>
      </c>
      <c r="E8" s="6" t="inlineStr">
        <is>
          <t>Done</t>
        </is>
      </c>
      <c r="F8" s="6" t="inlineStr"/>
      <c r="G8" s="6" t="inlineStr">
        <is>
          <t>4.3</t>
        </is>
      </c>
      <c r="H8" s="6" t="inlineStr">
        <is>
          <t>Owner</t>
        </is>
      </c>
    </row>
    <row r="9">
      <c r="A9" s="6" t="inlineStr">
        <is>
          <t>S008</t>
        </is>
      </c>
      <c r="B9" s="6" t="inlineStr">
        <is>
          <t>Blocks &amp; art</t>
        </is>
      </c>
      <c r="C9" s="6" t="inlineStr">
        <is>
          <t>Plant cards</t>
        </is>
      </c>
      <c r="D9" s="6" t="inlineStr">
        <is>
          <t>Must</t>
        </is>
      </c>
      <c r="E9" s="6" t="inlineStr">
        <is>
          <t>Done</t>
        </is>
      </c>
      <c r="F9" s="6" t="inlineStr"/>
      <c r="G9" s="6" t="inlineStr">
        <is>
          <t>4.14</t>
        </is>
      </c>
      <c r="H9" s="6" t="inlineStr">
        <is>
          <t>Owner</t>
        </is>
      </c>
    </row>
    <row r="10">
      <c r="A10" s="6" t="inlineStr">
        <is>
          <t>S009</t>
        </is>
      </c>
      <c r="B10" s="6" t="inlineStr">
        <is>
          <t>Blocks &amp; art</t>
        </is>
      </c>
      <c r="C10" s="6" t="inlineStr">
        <is>
          <t>Faceted props + dwelling/industry pieces (40 blocks)</t>
        </is>
      </c>
      <c r="D10" s="6" t="inlineStr">
        <is>
          <t>Must</t>
        </is>
      </c>
      <c r="E10" s="6" t="inlineStr">
        <is>
          <t>Done</t>
        </is>
      </c>
      <c r="F10" s="6" t="inlineStr">
        <is>
          <t>In the library only, not world gen yet</t>
        </is>
      </c>
      <c r="G10" s="6" t="inlineStr">
        <is>
          <t>4.15</t>
        </is>
      </c>
      <c r="H10" s="6" t="inlineStr">
        <is>
          <t>Owner</t>
        </is>
      </c>
    </row>
    <row r="11">
      <c r="A11" s="6" t="inlineStr">
        <is>
          <t>S010</t>
        </is>
      </c>
      <c r="B11" s="6" t="inlineStr">
        <is>
          <t>Blocks &amp; art</t>
        </is>
      </c>
      <c r="C11" s="6" t="inlineStr">
        <is>
          <t>Try the library out in the landscape</t>
        </is>
      </c>
      <c r="D11" s="6" t="inlineStr">
        <is>
          <t>Must</t>
        </is>
      </c>
      <c r="E11" s="6" t="inlineStr">
        <is>
          <t>In progress</t>
        </is>
      </c>
      <c r="F11" s="6" t="inlineStr">
        <is>
          <t>Owner play-test; decides names and what stays</t>
        </is>
      </c>
      <c r="G11" s="6" t="inlineStr">
        <is>
          <t>4.15</t>
        </is>
      </c>
      <c r="H11" s="6" t="inlineStr">
        <is>
          <t>Owner</t>
        </is>
      </c>
    </row>
    <row r="12">
      <c r="A12" s="6" t="inlineStr">
        <is>
          <t>S011</t>
        </is>
      </c>
      <c r="B12" s="6" t="inlineStr">
        <is>
          <t>Blocks &amp; art</t>
        </is>
      </c>
      <c r="C12" s="6" t="inlineStr">
        <is>
          <t>Name pass over all blocks</t>
        </is>
      </c>
      <c r="D12" s="6" t="inlineStr">
        <is>
          <t>Should</t>
        </is>
      </c>
      <c r="E12" s="6" t="inlineStr">
        <is>
          <t>Not started</t>
        </is>
      </c>
      <c r="F12" s="6" t="inlineStr">
        <is>
          <t>After the landscape try-out</t>
        </is>
      </c>
      <c r="G12" s="6" t="inlineStr">
        <is>
          <t>Part VIII</t>
        </is>
      </c>
      <c r="H12" s="6" t="inlineStr">
        <is>
          <t>Owner</t>
        </is>
      </c>
    </row>
    <row r="13">
      <c r="A13" s="6" t="inlineStr">
        <is>
          <t>S012</t>
        </is>
      </c>
      <c r="B13" s="6" t="inlineStr">
        <is>
          <t>Blocks &amp; art</t>
        </is>
      </c>
      <c r="C13" s="6" t="inlineStr">
        <is>
          <t>Landmark shapes: canopy cap, coil stalk</t>
        </is>
      </c>
      <c r="D13" s="6" t="inlineStr">
        <is>
          <t>Could</t>
        </is>
      </c>
      <c r="E13" s="6" t="inlineStr">
        <is>
          <t>Done</t>
        </is>
      </c>
      <c r="F13" s="6" t="inlineStr">
        <is>
          <t>Glowcap, moss canopy, fern coil, sprout coil in the library</t>
        </is>
      </c>
      <c r="G13" s="6" t="inlineStr">
        <is>
          <t>4.15</t>
        </is>
      </c>
      <c r="H13" s="6" t="inlineStr">
        <is>
          <t>Owner</t>
        </is>
      </c>
    </row>
    <row r="14">
      <c r="A14" s="6" t="inlineStr">
        <is>
          <t>S013</t>
        </is>
      </c>
      <c r="B14" s="6" t="inlineStr">
        <is>
          <t>Blocks &amp; art</t>
        </is>
      </c>
      <c r="C14" s="6" t="inlineStr">
        <is>
          <t>Parked decorative set: stained glass, porcelain floral, rune shrine</t>
        </is>
      </c>
      <c r="D14" s="6" t="inlineStr">
        <is>
          <t>Won't</t>
        </is>
      </c>
      <c r="E14" s="6" t="inlineStr">
        <is>
          <t>Parked</t>
        </is>
      </c>
      <c r="F14" s="6" t="inlineStr">
        <is>
          <t>Dev pile; not this horizon</t>
        </is>
      </c>
      <c r="G14" s="6" t="inlineStr">
        <is>
          <t>Part XX</t>
        </is>
      </c>
      <c r="H14" s="6" t="inlineStr">
        <is>
          <t>Owner</t>
        </is>
      </c>
    </row>
    <row r="15">
      <c r="A15" s="6" t="inlineStr">
        <is>
          <t>S014</t>
        </is>
      </c>
      <c r="B15" s="6" t="inlineStr">
        <is>
          <t>World</t>
        </is>
      </c>
      <c r="C15" s="6" t="inlineStr">
        <is>
          <t>World / biome generation using the library blocks and props</t>
        </is>
      </c>
      <c r="D15" s="6" t="inlineStr">
        <is>
          <t>Should</t>
        </is>
      </c>
      <c r="E15" s="6" t="inlineStr">
        <is>
          <t>Not started</t>
        </is>
      </c>
      <c r="F15" s="6" t="inlineStr">
        <is>
          <t>'Coming in the pipeline'; not started</t>
        </is>
      </c>
      <c r="G15" s="6" t="inlineStr">
        <is>
          <t>Part II</t>
        </is>
      </c>
      <c r="H15" s="6" t="inlineStr">
        <is>
          <t>Owner</t>
        </is>
      </c>
    </row>
    <row r="16">
      <c r="A16" s="6" t="inlineStr">
        <is>
          <t>S015</t>
        </is>
      </c>
      <c r="B16" s="6" t="inlineStr">
        <is>
          <t>Rendering</t>
        </is>
      </c>
      <c r="C16" s="6" t="inlineStr">
        <is>
          <t>Lighting, shadows, atmosphere, clouds, bloom, see-through blocks, glow light</t>
        </is>
      </c>
      <c r="D16" s="6" t="inlineStr">
        <is>
          <t>Must</t>
        </is>
      </c>
      <c r="E16" s="6" t="inlineStr">
        <is>
          <t>Done</t>
        </is>
      </c>
      <c r="F16" s="6" t="inlineStr"/>
      <c r="G16" s="6" t="inlineStr">
        <is>
          <t>4.8-4.12</t>
        </is>
      </c>
      <c r="H16" s="6" t="inlineStr">
        <is>
          <t>Owner</t>
        </is>
      </c>
    </row>
    <row r="17">
      <c r="A17" s="6" t="inlineStr">
        <is>
          <t>S016</t>
        </is>
      </c>
      <c r="B17" s="6" t="inlineStr">
        <is>
          <t>Rendering</t>
        </is>
      </c>
      <c r="C17" s="6" t="inlineStr">
        <is>
          <t>Soft filtering / colour bleed / large-scale variation comparison</t>
        </is>
      </c>
      <c r="D17" s="6" t="inlineStr">
        <is>
          <t>Could</t>
        </is>
      </c>
      <c r="E17" s="6" t="inlineStr">
        <is>
          <t>Done</t>
        </is>
      </c>
      <c r="F17" s="6" t="inlineStr">
        <is>
          <t>Owner picked D; colour bleed dropped after the playtest (halo). Variation + distance filtering kept (4.16)</t>
        </is>
      </c>
      <c r="G17" s="6" t="inlineStr">
        <is>
          <t>Part XX</t>
        </is>
      </c>
      <c r="H17" s="6" t="inlineStr">
        <is>
          <t>Owner</t>
        </is>
      </c>
    </row>
    <row r="18">
      <c r="A18" s="6" t="inlineStr">
        <is>
          <t>S017</t>
        </is>
      </c>
      <c r="B18" s="6" t="inlineStr">
        <is>
          <t>Gameplay</t>
        </is>
      </c>
      <c r="C18" s="6" t="inlineStr">
        <is>
          <t>Movement: sprint, crouch, power slide</t>
        </is>
      </c>
      <c r="D18" s="6" t="inlineStr">
        <is>
          <t>Must</t>
        </is>
      </c>
      <c r="E18" s="6" t="inlineStr">
        <is>
          <t>Done</t>
        </is>
      </c>
      <c r="F18" s="6" t="inlineStr"/>
      <c r="G18" s="6" t="inlineStr">
        <is>
          <t>4.7</t>
        </is>
      </c>
      <c r="H18" s="6" t="inlineStr">
        <is>
          <t>Owner</t>
        </is>
      </c>
    </row>
    <row r="19">
      <c r="A19" s="6" t="inlineStr">
        <is>
          <t>S018</t>
        </is>
      </c>
      <c r="B19" s="6" t="inlineStr">
        <is>
          <t>Gameplay</t>
        </is>
      </c>
      <c r="C19" s="6" t="inlineStr">
        <is>
          <t>Block library + 10-slot hotbar</t>
        </is>
      </c>
      <c r="D19" s="6" t="inlineStr">
        <is>
          <t>Must</t>
        </is>
      </c>
      <c r="E19" s="6" t="inlineStr">
        <is>
          <t>Done</t>
        </is>
      </c>
      <c r="F19" s="6" t="inlineStr"/>
      <c r="G19" s="6" t="inlineStr">
        <is>
          <t>4.3</t>
        </is>
      </c>
      <c r="H19" s="6" t="inlineStr">
        <is>
          <t>Owner</t>
        </is>
      </c>
    </row>
    <row r="20">
      <c r="A20" s="6" t="inlineStr">
        <is>
          <t>S019</t>
        </is>
      </c>
      <c r="B20" s="6" t="inlineStr">
        <is>
          <t>Gameplay</t>
        </is>
      </c>
      <c r="C20" s="6" t="inlineStr">
        <is>
          <t>Debug time control (F8, [ ])</t>
        </is>
      </c>
      <c r="D20" s="6" t="inlineStr">
        <is>
          <t>Must</t>
        </is>
      </c>
      <c r="E20" s="6" t="inlineStr">
        <is>
          <t>Done</t>
        </is>
      </c>
      <c r="F20" s="6" t="inlineStr"/>
      <c r="G20" s="6" t="inlineStr">
        <is>
          <t>Part XV</t>
        </is>
      </c>
      <c r="H20" s="6" t="inlineStr">
        <is>
          <t>Owner</t>
        </is>
      </c>
    </row>
    <row r="21">
      <c r="A21" s="6" t="inlineStr">
        <is>
          <t>S020</t>
        </is>
      </c>
      <c r="B21" s="6" t="inlineStr">
        <is>
          <t>Industry</t>
        </is>
      </c>
      <c r="C21" s="6" t="inlineStr">
        <is>
          <t>Item logistics: pulse through pipes</t>
        </is>
      </c>
      <c r="D21" s="6" t="inlineStr">
        <is>
          <t>Must</t>
        </is>
      </c>
      <c r="E21" s="6" t="inlineStr">
        <is>
          <t>In progress</t>
        </is>
      </c>
      <c r="F21" s="6" t="inlineStr">
        <is>
          <t>Built: harvester at a constant rate (faster under The Line); plain/clockwise/anticlockwise pipes give pulse spin; networks share out to stores (unlimited) and the machine; open ends fire straight, facing mouths catch; store view with bead heaps. Open: what harvesters draw from, what pulse becomes.</t>
        </is>
      </c>
      <c r="G21" s="6" t="inlineStr">
        <is>
          <t>Part VI</t>
        </is>
      </c>
      <c r="H21" s="6" t="inlineStr">
        <is>
          <t>Owner</t>
        </is>
      </c>
    </row>
    <row r="22">
      <c r="A22" s="6" t="inlineStr">
        <is>
          <t>S021</t>
        </is>
      </c>
      <c r="B22" s="6" t="inlineStr">
        <is>
          <t>Industry</t>
        </is>
      </c>
      <c r="C22" s="6" t="inlineStr">
        <is>
          <t>First working machine (the placeholder becomes real)</t>
        </is>
      </c>
      <c r="D22" s="6" t="inlineStr">
        <is>
          <t>Should</t>
        </is>
      </c>
      <c r="E22" s="6" t="inlineStr">
        <is>
          <t>Not started</t>
        </is>
      </c>
      <c r="F22" s="6" t="inlineStr">
        <is>
          <t>Core of the factory game. Logistics decided (pulse); waits on what pulse becomes / how it is burned</t>
        </is>
      </c>
      <c r="G22" s="6" t="inlineStr">
        <is>
          <t>Part VI</t>
        </is>
      </c>
      <c r="H22" s="6" t="inlineStr">
        <is>
          <t>Claude (proposed)</t>
        </is>
      </c>
    </row>
    <row r="23">
      <c r="A23" s="6" t="inlineStr">
        <is>
          <t>S022</t>
        </is>
      </c>
      <c r="B23" s="6" t="inlineStr">
        <is>
          <t>Industry</t>
        </is>
      </c>
      <c r="C23" s="6" t="inlineStr">
        <is>
          <t>Byproducts and land health (industry safe when well run)</t>
        </is>
      </c>
      <c r="D23" s="6" t="inlineStr">
        <is>
          <t>Won't</t>
        </is>
      </c>
      <c r="E23" s="6" t="inlineStr">
        <is>
          <t>Parked</t>
        </is>
      </c>
      <c r="F23" s="6" t="inlineStr">
        <is>
          <t>Dev pile; core direction but not this horizon</t>
        </is>
      </c>
      <c r="G23" s="6" t="inlineStr">
        <is>
          <t>Part XX</t>
        </is>
      </c>
      <c r="H23" s="6" t="inlineStr">
        <is>
          <t>Owner</t>
        </is>
      </c>
    </row>
    <row r="24">
      <c r="A24" s="6" t="inlineStr">
        <is>
          <t>S023</t>
        </is>
      </c>
      <c r="B24" s="6" t="inlineStr">
        <is>
          <t>Industry</t>
        </is>
      </c>
      <c r="C24" s="6" t="inlineStr">
        <is>
          <t>Essence as a transmutation economy</t>
        </is>
      </c>
      <c r="D24" s="6" t="inlineStr">
        <is>
          <t>Could</t>
        </is>
      </c>
      <c r="E24" s="6" t="inlineStr">
        <is>
          <t>Not started</t>
        </is>
      </c>
      <c r="F24" s="6" t="inlineStr">
        <is>
          <t>Candidate direction only</t>
        </is>
      </c>
      <c r="G24" s="6" t="inlineStr">
        <is>
          <t>Part XIX</t>
        </is>
      </c>
      <c r="H24" s="6" t="inlineStr">
        <is>
          <t>Claude (proposed)</t>
        </is>
      </c>
    </row>
    <row r="25">
      <c r="A25" s="6" t="inlineStr">
        <is>
          <t>S024</t>
        </is>
      </c>
      <c r="B25" s="6" t="inlineStr">
        <is>
          <t>Threat</t>
        </is>
      </c>
      <c r="C25" s="6" t="inlineStr">
        <is>
          <t>Ooze rifts born of neglect</t>
        </is>
      </c>
      <c r="D25" s="6" t="inlineStr">
        <is>
          <t>Won't</t>
        </is>
      </c>
      <c r="E25" s="6" t="inlineStr">
        <is>
          <t>Parked</t>
        </is>
      </c>
      <c r="F25" s="6" t="inlineStr">
        <is>
          <t>Dev pile</t>
        </is>
      </c>
      <c r="G25" s="6" t="inlineStr">
        <is>
          <t>Part XX</t>
        </is>
      </c>
      <c r="H25" s="6" t="inlineStr">
        <is>
          <t>Owner</t>
        </is>
      </c>
    </row>
    <row r="26">
      <c r="A26" s="6" t="inlineStr">
        <is>
          <t>S025</t>
        </is>
      </c>
      <c r="B26" s="6" t="inlineStr">
        <is>
          <t>Simulation</t>
        </is>
      </c>
      <c r="C26" s="6" t="inlineStr">
        <is>
          <t>Fluids</t>
        </is>
      </c>
      <c r="D26" s="6" t="inlineStr">
        <is>
          <t>Won't</t>
        </is>
      </c>
      <c r="E26" s="6" t="inlineStr">
        <is>
          <t>Parked</t>
        </is>
      </c>
      <c r="F26" s="6" t="inlineStr">
        <is>
          <t>Dev pile; heavy</t>
        </is>
      </c>
      <c r="G26" s="6" t="inlineStr">
        <is>
          <t>Part XX</t>
        </is>
      </c>
      <c r="H26" s="6" t="inlineStr">
        <is>
          <t>Owner</t>
        </is>
      </c>
    </row>
    <row r="27">
      <c r="A27" s="6" t="inlineStr">
        <is>
          <t>S026</t>
        </is>
      </c>
      <c r="B27" s="6" t="inlineStr">
        <is>
          <t>Simulation</t>
        </is>
      </c>
      <c r="C27" s="6" t="inlineStr">
        <is>
          <t>Vapours and gases</t>
        </is>
      </c>
      <c r="D27" s="6" t="inlineStr">
        <is>
          <t>Won't</t>
        </is>
      </c>
      <c r="E27" s="6" t="inlineStr">
        <is>
          <t>Parked</t>
        </is>
      </c>
      <c r="F27" s="6" t="inlineStr">
        <is>
          <t>Dev pile; heavy</t>
        </is>
      </c>
      <c r="G27" s="6" t="inlineStr">
        <is>
          <t>Part XX</t>
        </is>
      </c>
      <c r="H27" s="6" t="inlineStr">
        <is>
          <t>Owner</t>
        </is>
      </c>
    </row>
    <row r="28">
      <c r="A28" s="6" t="inlineStr">
        <is>
          <t>S027</t>
        </is>
      </c>
      <c r="B28" s="6" t="inlineStr">
        <is>
          <t>Simulation</t>
        </is>
      </c>
      <c r="C28" s="6" t="inlineStr">
        <is>
          <t>Plants drop when their support is removed</t>
        </is>
      </c>
      <c r="D28" s="6" t="inlineStr">
        <is>
          <t>Won't</t>
        </is>
      </c>
      <c r="E28" s="6" t="inlineStr">
        <is>
          <t>Parked</t>
        </is>
      </c>
      <c r="F28" s="6" t="inlineStr">
        <is>
          <t>Dev pile</t>
        </is>
      </c>
      <c r="G28" s="6" t="inlineStr">
        <is>
          <t>Part XX</t>
        </is>
      </c>
      <c r="H28" s="6" t="inlineStr">
        <is>
          <t>Owner</t>
        </is>
      </c>
    </row>
    <row r="29">
      <c r="A29" s="6" t="inlineStr">
        <is>
          <t>S028</t>
        </is>
      </c>
      <c r="B29" s="6" t="inlineStr">
        <is>
          <t>Audio</t>
        </is>
      </c>
      <c r="C29" s="6" t="inlineStr">
        <is>
          <t>Day-cycle music (one clock)</t>
        </is>
      </c>
      <c r="D29" s="6" t="inlineStr">
        <is>
          <t>Must</t>
        </is>
      </c>
      <c r="E29" s="6" t="inlineStr">
        <is>
          <t>Done</t>
        </is>
      </c>
      <c r="F29" s="6" t="inlineStr"/>
      <c r="G29" s="6" t="inlineStr">
        <is>
          <t>Part XIV</t>
        </is>
      </c>
      <c r="H29" s="6" t="inlineStr">
        <is>
          <t>Owner</t>
        </is>
      </c>
    </row>
    <row r="30">
      <c r="A30" s="6" t="inlineStr">
        <is>
          <t>S029</t>
        </is>
      </c>
      <c r="B30" s="6" t="inlineStr">
        <is>
          <t>Audio</t>
        </is>
      </c>
      <c r="C30" s="6" t="inlineStr">
        <is>
          <t>World sound palette + three soundscape axes</t>
        </is>
      </c>
      <c r="D30" s="6" t="inlineStr">
        <is>
          <t>Must</t>
        </is>
      </c>
      <c r="E30" s="6" t="inlineStr">
        <is>
          <t>Done</t>
        </is>
      </c>
      <c r="F30" s="6" t="inlineStr">
        <is>
          <t>Owner finds it plain; develop later</t>
        </is>
      </c>
      <c r="G30" s="6" t="inlineStr">
        <is>
          <t>10.4</t>
        </is>
      </c>
      <c r="H30" s="6" t="inlineStr">
        <is>
          <t>Owner</t>
        </is>
      </c>
    </row>
    <row r="31">
      <c r="A31" s="6" t="inlineStr">
        <is>
          <t>S030</t>
        </is>
      </c>
      <c r="B31" s="6" t="inlineStr">
        <is>
          <t>Audio</t>
        </is>
      </c>
      <c r="C31" s="6" t="inlineStr">
        <is>
          <t>Develop the palette's character further</t>
        </is>
      </c>
      <c r="D31" s="6" t="inlineStr">
        <is>
          <t>Could</t>
        </is>
      </c>
      <c r="E31" s="6" t="inlineStr">
        <is>
          <t>Not started</t>
        </is>
      </c>
      <c r="F31" s="6" t="inlineStr">
        <is>
          <t>When the game's direction is clearer</t>
        </is>
      </c>
      <c r="G31" s="6" t="inlineStr">
        <is>
          <t>10.4</t>
        </is>
      </c>
      <c r="H31" s="6" t="inlineStr">
        <is>
          <t>Owner</t>
        </is>
      </c>
    </row>
    <row r="32">
      <c r="A32" s="6" t="inlineStr">
        <is>
          <t>S031</t>
        </is>
      </c>
      <c r="B32" s="6" t="inlineStr">
        <is>
          <t>Audio</t>
        </is>
      </c>
      <c r="C32" s="6" t="inlineStr">
        <is>
          <t>Machine sounds react to the placeholder machine</t>
        </is>
      </c>
      <c r="D32" s="6" t="inlineStr">
        <is>
          <t>Must</t>
        </is>
      </c>
      <c r="E32" s="6" t="inlineStr">
        <is>
          <t>Done</t>
        </is>
      </c>
      <c r="F32" s="6" t="inlineStr">
        <is>
          <t>Online on placing; hum and rhythm near machines</t>
        </is>
      </c>
      <c r="G32" s="6" t="inlineStr">
        <is>
          <t>10.4</t>
        </is>
      </c>
      <c r="H32" s="6" t="inlineStr">
        <is>
          <t>Owner</t>
        </is>
      </c>
    </row>
    <row r="33">
      <c r="A33" s="6" t="inlineStr">
        <is>
          <t>S032</t>
        </is>
      </c>
      <c r="B33" s="6" t="inlineStr">
        <is>
          <t>Audio</t>
        </is>
      </c>
      <c r="C33" s="6" t="inlineStr">
        <is>
          <t>Positional (stereo) sound</t>
        </is>
      </c>
      <c r="D33" s="6" t="inlineStr">
        <is>
          <t>Could</t>
        </is>
      </c>
      <c r="E33" s="6" t="inlineStr">
        <is>
          <t>Done</t>
        </is>
      </c>
      <c r="F33" s="6" t="inlineStr">
        <is>
          <t>Owner: go ahead. Placed sounds pan, ping-pong echo, Mono audio toggle</t>
        </is>
      </c>
      <c r="G33" s="6" t="inlineStr">
        <is>
          <t>10.3</t>
        </is>
      </c>
      <c r="H33" s="6" t="inlineStr">
        <is>
          <t>Owner</t>
        </is>
      </c>
    </row>
    <row r="34">
      <c r="A34" s="6" t="inlineStr">
        <is>
          <t>S033</t>
        </is>
      </c>
      <c r="B34" s="6" t="inlineStr">
        <is>
          <t>Audio</t>
        </is>
      </c>
      <c r="C34" s="6" t="inlineStr">
        <is>
          <t>Sounds waiting on systems: mending, rift closed, rift omens</t>
        </is>
      </c>
      <c r="D34" s="6" t="inlineStr">
        <is>
          <t>Won't</t>
        </is>
      </c>
      <c r="E34" s="6" t="inlineStr">
        <is>
          <t>Parked</t>
        </is>
      </c>
      <c r="F34" s="6" t="inlineStr">
        <is>
          <t>Built and tested; nothing triggers them yet</t>
        </is>
      </c>
      <c r="G34" s="6" t="inlineStr">
        <is>
          <t>10.4</t>
        </is>
      </c>
      <c r="H34" s="6" t="inlineStr">
        <is>
          <t>Claude (proposed)</t>
        </is>
      </c>
    </row>
    <row r="35">
      <c r="A35" s="6" t="inlineStr">
        <is>
          <t>S034</t>
        </is>
      </c>
      <c r="B35" s="6" t="inlineStr">
        <is>
          <t>The Line</t>
        </is>
      </c>
      <c r="C35" s="6" t="inlineStr">
        <is>
          <t>The Line prototype: travelling pivot, clockwise spin, time expression</t>
        </is>
      </c>
      <c r="D35" s="6" t="inlineStr">
        <is>
          <t>Must</t>
        </is>
      </c>
      <c r="E35" s="6" t="inlineStr">
        <is>
          <t>Done</t>
        </is>
      </c>
      <c r="F35" s="6" t="inlineStr">
        <is>
          <t>Playtest fixes: pivot now lands on the spot you actually spend time in x and z (16-block cells remembering where their time was spent; 30-min half-life). Expression (owner's pick): the visible sky races ahead near the line and runs slow after you leave; sun and light keep the real clock; wobble kept faint.</t>
        </is>
      </c>
      <c r="G35" s="6" t="inlineStr">
        <is>
          <t>Part XVIII</t>
        </is>
      </c>
      <c r="H35" s="6" t="inlineStr">
        <is>
          <t>Owner</t>
        </is>
      </c>
    </row>
    <row r="36">
      <c r="A36" s="6" t="inlineStr">
        <is>
          <t>S035</t>
        </is>
      </c>
      <c r="B36" s="6" t="inlineStr">
        <is>
          <t>The Line</t>
        </is>
      </c>
      <c r="C36" s="6" t="inlineStr">
        <is>
          <t>Hide the debug marker once the sky effect is signed off</t>
        </is>
      </c>
      <c r="D36" s="6" t="inlineStr">
        <is>
          <t>Should</t>
        </is>
      </c>
      <c r="E36" s="6" t="inlineStr">
        <is>
          <t>Not started</t>
        </is>
      </c>
      <c r="F36" s="6" t="inlineStr"/>
      <c r="G36" s="6" t="inlineStr">
        <is>
          <t>Part XVIII</t>
        </is>
      </c>
      <c r="H36" s="6" t="inlineStr">
        <is>
          <t>Claude (proposed)</t>
        </is>
      </c>
    </row>
    <row r="37">
      <c r="A37" s="6" t="inlineStr">
        <is>
          <t>S036</t>
        </is>
      </c>
      <c r="B37" s="6" t="inlineStr">
        <is>
          <t>The Line</t>
        </is>
      </c>
      <c r="C37" s="6" t="inlineStr">
        <is>
          <t>Player structures as extra pivot sources</t>
        </is>
      </c>
      <c r="D37" s="6" t="inlineStr">
        <is>
          <t>Could</t>
        </is>
      </c>
      <c r="E37" s="6" t="inlineStr">
        <is>
          <t>Not started</t>
        </is>
      </c>
      <c r="F37" s="6" t="inlineStr">
        <is>
          <t>Owner expected the essence attractor to do this; today it doesn't (it only draws from convergence zones). Owner to decide whether attractors should pull The Line's pivot.</t>
        </is>
      </c>
      <c r="G37" s="6" t="inlineStr">
        <is>
          <t>Part XVIII</t>
        </is>
      </c>
      <c r="H37" s="6" t="inlineStr">
        <is>
          <t>Claude (proposed)</t>
        </is>
      </c>
    </row>
    <row r="38">
      <c r="A38" s="6" t="inlineStr">
        <is>
          <t>S038</t>
        </is>
      </c>
      <c r="B38" s="6" t="inlineStr">
        <is>
          <t>Standing rules</t>
        </is>
      </c>
      <c r="C38" s="6" t="inlineStr">
        <is>
          <t>Nothing anyone owns: no brands, currencies, crypto, borrowed art or names</t>
        </is>
      </c>
      <c r="D38" s="6" t="inlineStr">
        <is>
          <t>Must</t>
        </is>
      </c>
      <c r="E38" s="6" t="inlineStr">
        <is>
          <t>In progress</t>
        </is>
      </c>
      <c r="F38" s="6" t="inlineStr">
        <is>
          <t>Standing rule</t>
        </is>
      </c>
      <c r="G38" s="6" t="inlineStr">
        <is>
          <t>Part VIII</t>
        </is>
      </c>
      <c r="H38" s="6" t="inlineStr">
        <is>
          <t>Owner</t>
        </is>
      </c>
    </row>
    <row r="39">
      <c r="A39" s="6" t="inlineStr">
        <is>
          <t>S039</t>
        </is>
      </c>
      <c r="B39" s="6" t="inlineStr">
        <is>
          <t>Standing rules</t>
        </is>
      </c>
      <c r="C39" s="6" t="inlineStr">
        <is>
          <t>Photosensitivity: nothing flashes more than 3 times a second</t>
        </is>
      </c>
      <c r="D39" s="6" t="inlineStr">
        <is>
          <t>Must</t>
        </is>
      </c>
      <c r="E39" s="6" t="inlineStr">
        <is>
          <t>In progress</t>
        </is>
      </c>
      <c r="F39" s="6" t="inlineStr">
        <is>
          <t>Standing rule</t>
        </is>
      </c>
      <c r="G39" s="6" t="inlineStr">
        <is>
          <t>Part XI</t>
        </is>
      </c>
      <c r="H39" s="6" t="inlineStr">
        <is>
          <t>Owner</t>
        </is>
      </c>
    </row>
    <row r="40">
      <c r="A40" s="6" t="inlineStr">
        <is>
          <t>S040</t>
        </is>
      </c>
      <c r="B40" s="6" t="inlineStr">
        <is>
          <t>Audio</t>
        </is>
      </c>
      <c r="C40" s="6" t="inlineStr">
        <is>
          <t>Vocal ad-libs and footfalls</t>
        </is>
      </c>
      <c r="D40" s="6" t="inlineStr">
        <is>
          <t>Must</t>
        </is>
      </c>
      <c r="E40" s="6" t="inlineStr">
        <is>
          <t>Done</t>
        </is>
      </c>
      <c r="F40" s="6" t="inlineStr">
        <is>
          <t>Owner: keep</t>
        </is>
      </c>
      <c r="G40" s="6" t="inlineStr">
        <is>
          <t>10.4</t>
        </is>
      </c>
      <c r="H40" s="6" t="inlineStr">
        <is>
          <t>Owner</t>
        </is>
      </c>
    </row>
    <row r="41">
      <c r="A41" s="6" t="inlineStr">
        <is>
          <t>S041</t>
        </is>
      </c>
      <c r="B41" s="6" t="inlineStr">
        <is>
          <t>Audio</t>
        </is>
      </c>
      <c r="C41" s="6" t="inlineStr">
        <is>
          <t>'Unveil' cue on first placement of a block type</t>
        </is>
      </c>
      <c r="D41" s="6" t="inlineStr">
        <is>
          <t>Won't</t>
        </is>
      </c>
      <c r="E41" s="6" t="inlineStr">
        <is>
          <t>Parked</t>
        </is>
      </c>
      <c r="F41" s="6" t="inlineStr">
        <is>
          <t>Owner: nixed; the recipe stays unused</t>
        </is>
      </c>
      <c r="G41" s="6" t="inlineStr">
        <is>
          <t>10.4</t>
        </is>
      </c>
      <c r="H41" s="6" t="inlineStr">
        <is>
          <t>Owner</t>
        </is>
      </c>
    </row>
    <row r="42">
      <c r="A42" s="6" t="inlineStr">
        <is>
          <t>S042</t>
        </is>
      </c>
      <c r="B42" s="6" t="inlineStr">
        <is>
          <t>Audio</t>
        </is>
      </c>
      <c r="C42" s="6" t="inlineStr">
        <is>
          <t>Footsteps on the beat, by gait and ground hardness</t>
        </is>
      </c>
      <c r="D42" s="6" t="inlineStr">
        <is>
          <t>Must</t>
        </is>
      </c>
      <c r="E42" s="6" t="inlineStr">
        <is>
          <t>Done</t>
        </is>
      </c>
      <c r="F42" s="6" t="inlineStr">
        <is>
          <t>Crouch/walk/sprint; soft scuffs, hard knocks in key</t>
        </is>
      </c>
      <c r="G42" s="6" t="inlineStr">
        <is>
          <t>10.4</t>
        </is>
      </c>
      <c r="H42" s="6" t="inlineStr">
        <is>
          <t>Owner</t>
        </is>
      </c>
    </row>
    <row r="43">
      <c r="A43" s="6" t="inlineStr">
        <is>
          <t>S043</t>
        </is>
      </c>
      <c r="B43" s="6" t="inlineStr">
        <is>
          <t>World</t>
        </is>
      </c>
      <c r="C43" s="6" t="inlineStr">
        <is>
          <t>Default plain as a fractal patchwork of three ground materials</t>
        </is>
      </c>
      <c r="D43" s="6" t="inlineStr">
        <is>
          <t>Must</t>
        </is>
      </c>
      <c r="E43" s="6" t="inlineStr">
        <is>
          <t>Done</t>
        </is>
      </c>
      <c r="F43" s="6" t="inlineStr">
        <is>
          <t>Grass / sand / pebbles by feel underfoot; flat v2; materials swappable</t>
        </is>
      </c>
      <c r="G43" s="6" t="inlineStr">
        <is>
          <t>Part II</t>
        </is>
      </c>
      <c r="H43" s="6" t="inlineStr">
        <is>
          <t>Owner</t>
        </is>
      </c>
    </row>
    <row r="44">
      <c r="A44" s="6" t="inlineStr">
        <is>
          <t>S044</t>
        </is>
      </c>
      <c r="B44" s="6" t="inlineStr">
        <is>
          <t>UI</t>
        </is>
      </c>
      <c r="C44" s="6" t="inlineStr">
        <is>
          <t>Buttons that look and feel pressable (mechanical press cue)</t>
        </is>
      </c>
      <c r="D44" s="6" t="inlineStr">
        <is>
          <t>Must</t>
        </is>
      </c>
      <c r="E44" s="6" t="inlineStr">
        <is>
          <t>Done</t>
        </is>
      </c>
      <c r="F44" s="6" t="inlineStr">
        <is>
          <t>Keys act on release; sliders are beads on a string</t>
        </is>
      </c>
      <c r="G44" s="6" t="inlineStr">
        <is>
          <t>Part XII</t>
        </is>
      </c>
      <c r="H44" s="6" t="inlineStr">
        <is>
          <t>Owner</t>
        </is>
      </c>
    </row>
    <row r="45">
      <c r="A45" s="6" t="inlineStr">
        <is>
          <t>S045</t>
        </is>
      </c>
      <c r="B45" s="6" t="inlineStr">
        <is>
          <t>Standing rules</t>
        </is>
      </c>
      <c r="C45" s="6" t="inlineStr">
        <is>
          <t>Privacy: no telemetry, crash reporting or hardware reading; target a modest old Windows PC</t>
        </is>
      </c>
      <c r="D45" s="6" t="inlineStr">
        <is>
          <t>Must</t>
        </is>
      </c>
      <c r="E45" s="6" t="inlineStr">
        <is>
          <t>In progress</t>
        </is>
      </c>
      <c r="F45" s="6" t="inlineStr">
        <is>
          <t>Standing rule</t>
        </is>
      </c>
      <c r="G45" s="6" t="inlineStr">
        <is>
          <t>CLAUDE.md</t>
        </is>
      </c>
      <c r="H45" s="6" t="inlineStr">
        <is>
          <t>Owner</t>
        </is>
      </c>
    </row>
    <row r="46">
      <c r="A46" s="6" t="inlineStr">
        <is>
          <t>S046</t>
        </is>
      </c>
      <c r="B46" s="6" t="inlineStr">
        <is>
          <t>Crafting</t>
        </is>
      </c>
      <c r="C46" s="6" t="inlineStr">
        <is>
          <t>Crafting system brainstorm: gathering, representation, uses, advancement from the natural surroundings</t>
        </is>
      </c>
      <c r="D46" s="6" t="inlineStr">
        <is>
          <t>Should</t>
        </is>
      </c>
      <c r="E46" s="6" t="inlineStr">
        <is>
          <t>Not started</t>
        </is>
      </c>
      <c r="F46" s="6" t="inlineStr">
        <is>
          <t>After the playtest. Seed: microbes/germs gathered as essence, coloured/'flavoured' by the source's biological makeup. Owner to confirm priority.</t>
        </is>
      </c>
      <c r="G46" s="6" t="inlineStr">
        <is>
          <t>Part XX</t>
        </is>
      </c>
      <c r="H46" s="6" t="inlineStr">
        <is>
          <t>Owner</t>
        </is>
      </c>
    </row>
    <row r="47">
      <c r="A47" s="6" t="inlineStr">
        <is>
          <t>S047</t>
        </is>
      </c>
      <c r="B47" s="6" t="inlineStr">
        <is>
          <t>Playtest fixes</t>
        </is>
      </c>
      <c r="C47" s="6" t="inlineStr">
        <is>
          <t>Footsteps louder; fog haze + distance filtering; midday hitch (music slices, sliced shadow redraw)</t>
        </is>
      </c>
      <c r="D47" s="6" t="inlineStr">
        <is>
          <t>Must</t>
        </is>
      </c>
      <c r="E47" s="6" t="inlineStr">
        <is>
          <t>Done</t>
        </is>
      </c>
      <c r="F47" s="6" t="inlineStr">
        <is>
          <t>From the first playtest on the owner's rig</t>
        </is>
      </c>
      <c r="G47" s="6" t="inlineStr">
        <is>
          <t>4.8, 4.16, 14.7</t>
        </is>
      </c>
      <c r="H47" s="6" t="inlineStr">
        <is>
          <t>Owner</t>
        </is>
      </c>
    </row>
    <row r="48">
      <c r="A48" s="6" t="inlineStr">
        <is>
          <t>S048</t>
        </is>
      </c>
      <c r="B48" s="6" t="inlineStr">
        <is>
          <t>Gameplay</t>
        </is>
      </c>
      <c r="C48" s="6" t="inlineStr">
        <is>
          <t>Forgiving power-slide timing; faster sprint (7.5)</t>
        </is>
      </c>
      <c r="D48" s="6" t="inlineStr">
        <is>
          <t>Must</t>
        </is>
      </c>
      <c r="E48" s="6" t="inlineStr">
        <is>
          <t>Done</t>
        </is>
      </c>
      <c r="F48" s="6" t="inlineStr">
        <is>
          <t>Crouch/sprint in either order within 0.3-0.4 s</t>
        </is>
      </c>
      <c r="G48" s="6" t="inlineStr">
        <is>
          <t>4.7</t>
        </is>
      </c>
      <c r="H48" s="6" t="inlineStr">
        <is>
          <t>Owner</t>
        </is>
      </c>
    </row>
    <row r="49">
      <c r="A49" s="6" t="inlineStr">
        <is>
          <t>S049</t>
        </is>
      </c>
      <c r="B49" s="6" t="inlineStr">
        <is>
          <t>Rendering</t>
        </is>
      </c>
      <c r="C49" s="6" t="inlineStr">
        <is>
          <t>Frame rate limit 30-200 (default 60) and vsync toggle</t>
        </is>
      </c>
      <c r="D49" s="6" t="inlineStr">
        <is>
          <t>Must</t>
        </is>
      </c>
      <c r="E49" s="6" t="inlineStr">
        <is>
          <t>Done</t>
        </is>
      </c>
      <c r="F49" s="6" t="inlineStr">
        <is>
          <t>Graphics settings</t>
        </is>
      </c>
      <c r="G49" s="6" t="inlineStr">
        <is>
          <t>12.y</t>
        </is>
      </c>
      <c r="H49" s="6" t="inlineStr">
        <is>
          <t>Owner</t>
        </is>
      </c>
    </row>
    <row r="50">
      <c r="A50" s="6" t="inlineStr">
        <is>
          <t>S050</t>
        </is>
      </c>
      <c r="B50" s="6" t="inlineStr">
        <is>
          <t>Gameplay</t>
        </is>
      </c>
      <c r="C50" s="6" t="inlineStr">
        <is>
          <t>Breaking blocks: how it is done, and with what tools (if any)</t>
        </is>
      </c>
      <c r="D50" s="6" t="inlineStr">
        <is>
          <t>Could</t>
        </is>
      </c>
      <c r="E50" s="6" t="inlineStr">
        <is>
          <t>Parked</t>
        </is>
      </c>
      <c r="F50" s="6" t="inlineStr">
        <is>
          <t>Owner: comes later, once we decide what tools there are. Today a click breaks a block instantly. Priority is the owner's to set.</t>
        </is>
      </c>
      <c r="G50" s="6" t="inlineStr">
        <is>
          <t>Part XX</t>
        </is>
      </c>
      <c r="H50" s="6" t="inlineStr">
        <is>
          <t>Claude (proposed)</t>
        </is>
      </c>
    </row>
    <row r="51">
      <c r="A51" s="6" t="inlineStr">
        <is>
          <t>S051</t>
        </is>
      </c>
      <c r="B51" s="6" t="inlineStr">
        <is>
          <t>Rendering</t>
        </is>
      </c>
      <c r="C51" s="6" t="inlineStr">
        <is>
          <t>Pre-generated fracture: a broken block splits into pieces that tumble and settle</t>
        </is>
      </c>
      <c r="D51" s="6" t="inlineStr">
        <is>
          <t>Could</t>
        </is>
      </c>
      <c r="E51" s="6" t="inlineStr">
        <is>
          <t>Parked</t>
        </is>
      </c>
      <c r="F51" s="6" t="inlineStr">
        <is>
          <t>Owner's idea, for with S050. Cheap by design: fracture patterns baked once per shape (a handful of variants), a few short-lived pieces per break, no per-block data. Nothing flashes.</t>
        </is>
      </c>
      <c r="G51" s="6" t="inlineStr">
        <is>
          <t>Part XX</t>
        </is>
      </c>
      <c r="H51" s="6" t="inlineStr">
        <is>
          <t>Claude (proposed)</t>
        </is>
      </c>
    </row>
    <row r="52">
      <c r="A52" s="6" t="inlineStr">
        <is>
          <t>S052</t>
        </is>
      </c>
      <c r="B52" s="6" t="inlineStr">
        <is>
          <t>UI</t>
        </is>
      </c>
      <c r="C52" s="6" t="inlineStr">
        <is>
          <t>Translation / language packs</t>
        </is>
      </c>
      <c r="D52" s="6" t="inlineStr">
        <is>
          <t>Won't</t>
        </is>
      </c>
      <c r="E52" s="6" t="inlineStr">
        <is>
          <t>Not started</t>
        </is>
      </c>
      <c r="F52" s="6" t="inlineStr">
        <is>
          <t>Owner: not a priority; English only, kept minimal so non-native speakers pick it up through play. Estimate if ever wanted: Latin scripts a few days (string table, accented glyphs); CJK needs a glyph cache.</t>
        </is>
      </c>
      <c r="G52" s="6" t="inlineStr">
        <is>
          <t>—</t>
        </is>
      </c>
      <c r="H52" s="6" t="inlineStr">
        <is>
          <t>Owner</t>
        </is>
      </c>
    </row>
    <row r="53">
      <c r="A53" s="6" t="inlineStr">
        <is>
          <t>S053</t>
        </is>
      </c>
      <c r="B53" s="6" t="inlineStr">
        <is>
          <t>Art</t>
        </is>
      </c>
      <c r="C53" s="6" t="inlineStr">
        <is>
          <t>A big new batch of library blocks to sort through</t>
        </is>
      </c>
      <c r="D53" s="6" t="inlineStr">
        <is>
          <t>Should</t>
        </is>
      </c>
      <c r="E53" s="6" t="inlineStr">
        <is>
          <t>Not started</t>
        </is>
      </c>
      <c r="F53" s="6" t="inlineStr">
        <is>
          <t>Owner isn't thrilled with the current set; wants a large pile to choose from.</t>
        </is>
      </c>
      <c r="G53" s="6" t="inlineStr">
        <is>
          <t>4.13, 4.15</t>
        </is>
      </c>
      <c r="H53" s="6" t="inlineStr">
        <is>
          <t>Owner</t>
        </is>
      </c>
    </row>
    <row r="54">
      <c r="A54" s="6" t="inlineStr">
        <is>
          <t>S054</t>
        </is>
      </c>
      <c r="B54" s="6" t="inlineStr">
        <is>
          <t>Review</t>
        </is>
      </c>
      <c r="C54" s="6" t="inlineStr">
        <is>
          <t>Reviews: music fit; optimisation and architecture; texture library direction</t>
        </is>
      </c>
      <c r="D54" s="6" t="inlineStr">
        <is>
          <t>Should</t>
        </is>
      </c>
      <c r="E54" s="6" t="inlineStr">
        <is>
          <t>Not started</t>
        </is>
      </c>
      <c r="F54" s="6" t="inlineStr">
        <is>
          <t>Owner asked for a distanced look at each</t>
        </is>
      </c>
      <c r="G54" s="6" t="inlineStr">
        <is>
          <t>—</t>
        </is>
      </c>
      <c r="H54" s="6" t="inlineStr">
        <is>
          <t>Owner</t>
        </is>
      </c>
    </row>
    <row r="55">
      <c r="A55" s="6" t="inlineStr">
        <is>
          <t>S055</t>
        </is>
      </c>
      <c r="B55" s="6" t="inlineStr">
        <is>
          <t>Industry</t>
        </is>
      </c>
      <c r="C55" s="6" t="inlineStr">
        <is>
          <t>Pulse spin: three pipe kinds, spin carried and counted</t>
        </is>
      </c>
      <c r="D55" s="6" t="inlineStr">
        <is>
          <t>Must</t>
        </is>
      </c>
      <c r="E55" s="6" t="inlineStr">
        <is>
          <t>Done</t>
        </is>
      </c>
      <c r="F55" s="6" t="inlineStr">
        <is>
          <t>Owner's idea; seen as corkscrew comets in the air and heaps by colour in stores</t>
        </is>
      </c>
      <c r="G55" s="6" t="inlineStr">
        <is>
          <t>6.0</t>
        </is>
      </c>
      <c r="H55" s="6" t="inlineStr">
        <is>
          <t>Owner</t>
        </is>
      </c>
    </row>
    <row r="56">
      <c r="A56" s="6" t="inlineStr">
        <is>
          <t>S056</t>
        </is>
      </c>
      <c r="B56" s="6" t="inlineStr">
        <is>
          <t>World</t>
        </is>
      </c>
      <c r="C56" s="6" t="inlineStr">
        <is>
          <t>Fliers: two-winged day-lived creatures that fly low; the line ages them</t>
        </is>
      </c>
      <c r="D56" s="6" t="inlineStr">
        <is>
          <t>Should</t>
        </is>
      </c>
      <c r="E56" s="6" t="inlineStr">
        <is>
          <t>Not started</t>
        </is>
      </c>
      <c r="F56" s="6" t="inlineStr">
        <is>
          <t>Owner's idea. Die after one game day or sooner under The Line; death makes grass glow vividly for a while, or grows mold on dirt/wood</t>
        </is>
      </c>
      <c r="G56" s="6" t="inlineStr">
        <is>
          <t>—</t>
        </is>
      </c>
      <c r="H56" s="6" t="inlineStr">
        <is>
          <t>Owner</t>
        </is>
      </c>
    </row>
    <row r="57">
      <c r="A57" s="6" t="inlineStr">
        <is>
          <t>S057</t>
        </is>
      </c>
      <c r="B57" s="6" t="inlineStr">
        <is>
          <t>World</t>
        </is>
      </c>
      <c r="C57" s="6" t="inlineStr">
        <is>
          <t>Mold that sprouts a mushroom after a game day or after rain</t>
        </is>
      </c>
      <c r="D57" s="6" t="inlineStr">
        <is>
          <t>Could</t>
        </is>
      </c>
      <c r="E57" s="6" t="inlineStr">
        <is>
          <t>Not started</t>
        </is>
      </c>
      <c r="F57" s="6" t="inlineStr">
        <is>
          <t>Owner's idea; rain needs a weather system (to discuss)</t>
        </is>
      </c>
      <c r="G57" s="6" t="inlineStr">
        <is>
          <t>—</t>
        </is>
      </c>
      <c r="H57" s="6" t="inlineStr">
        <is>
          <t>Claude (proposed)</t>
        </is>
      </c>
    </row>
    <row r="58">
      <c r="A58" s="6" t="inlineStr">
        <is>
          <t>S058</t>
        </is>
      </c>
      <c r="B58" s="6" t="inlineStr">
        <is>
          <t>World</t>
        </is>
      </c>
      <c r="C58" s="6" t="inlineStr">
        <is>
          <t>Covered grass turns to dirt (not overnight)</t>
        </is>
      </c>
      <c r="D58" s="6" t="inlineStr">
        <is>
          <t>Should</t>
        </is>
      </c>
      <c r="E58" s="6" t="inlineStr">
        <is>
          <t>Not started</t>
        </is>
      </c>
      <c r="F58" s="6" t="inlineStr">
        <is>
          <t>Deprived of sky, not of daylight</t>
        </is>
      </c>
      <c r="G58" s="6" t="inlineStr">
        <is>
          <t>Part V</t>
        </is>
      </c>
      <c r="H58" s="6" t="inlineStr">
        <is>
          <t>Owner</t>
        </is>
      </c>
    </row>
    <row r="59">
      <c r="A59" s="6" t="inlineStr">
        <is>
          <t>S059</t>
        </is>
      </c>
      <c r="B59" s="6" t="inlineStr">
        <is>
          <t>World</t>
        </is>
      </c>
      <c r="C59" s="6" t="inlineStr">
        <is>
          <t>Weather (rain first)</t>
        </is>
      </c>
      <c r="D59" s="6" t="inlineStr">
        <is>
          <t>Could</t>
        </is>
      </c>
      <c r="E59" s="6" t="inlineStr">
        <is>
          <t>Not started</t>
        </is>
      </c>
      <c r="F59" s="6" t="inlineStr">
        <is>
          <t>Owner: yet to discuss</t>
        </is>
      </c>
      <c r="G59" s="6" t="inlineStr">
        <is>
          <t>—</t>
        </is>
      </c>
      <c r="H59" s="6" t="inlineStr">
        <is>
          <t>Claude (proposed)</t>
        </is>
      </c>
    </row>
    <row r="60">
      <c r="A60" s="6" t="inlineStr">
        <is>
          <t>S060</t>
        </is>
      </c>
      <c r="B60" s="6" t="inlineStr">
        <is>
          <t>The Line</t>
        </is>
      </c>
      <c r="C60" s="6" t="inlineStr">
        <is>
          <t>The Line grows to a plane with the player's power and influence</t>
        </is>
      </c>
      <c r="D60" s="6" t="inlineStr">
        <is>
          <t>Won't</t>
        </is>
      </c>
      <c r="E60" s="6" t="inlineStr">
        <is>
          <t>Not started</t>
        </is>
      </c>
      <c r="F60" s="6" t="inlineStr">
        <is>
          <t>Owner: low priority, discuss later</t>
        </is>
      </c>
      <c r="G60" s="6" t="inlineStr">
        <is>
          <t>Part XVIII</t>
        </is>
      </c>
      <c r="H60" s="6" t="inlineStr">
        <is>
          <t>Owner</t>
        </is>
      </c>
    </row>
    <row r="61">
      <c r="A61" s="6" t="inlineStr">
        <is>
          <t>S061</t>
        </is>
      </c>
      <c r="B61" s="6" t="inlineStr">
        <is>
          <t>Industry</t>
        </is>
      </c>
      <c r="C61" s="6" t="inlineStr">
        <is>
          <t>Diffuser: spends pulse widening The Line's band (the first loop)</t>
        </is>
      </c>
      <c r="D61" s="6" t="inlineStr">
        <is>
          <t>Must</t>
        </is>
      </c>
      <c r="E61" s="6" t="inlineStr">
        <is>
          <t>Done</t>
        </is>
      </c>
      <c r="F61" s="6" t="inlineStr">
        <is>
          <t>Owner's design: feed per second keeps the band wide; harvesters above/below need it</t>
        </is>
      </c>
      <c r="G61" s="6" t="inlineStr">
        <is>
          <t>6.0, XVIII</t>
        </is>
      </c>
      <c r="H61" s="6" t="inlineStr">
        <is>
          <t>Owner</t>
        </is>
      </c>
    </row>
    <row r="62">
      <c r="A62" s="6" t="inlineStr">
        <is>
          <t>S062</t>
        </is>
      </c>
      <c r="B62" s="6" t="inlineStr">
        <is>
          <t>UI</t>
        </is>
      </c>
      <c r="C62" s="6" t="inlineStr">
        <is>
          <t>First-steps tutorial on a new world, skippable</t>
        </is>
      </c>
      <c r="D62" s="6" t="inlineStr">
        <is>
          <t>Must</t>
        </is>
      </c>
      <c r="E62" s="6" t="inlineStr">
        <is>
          <t>Done</t>
        </is>
      </c>
      <c r="F62" s="6" t="inlineStr">
        <is>
          <t>One line at a time, moves on as done; Enter skips</t>
        </is>
      </c>
      <c r="G62" s="6" t="inlineStr">
        <is>
          <t>6.0</t>
        </is>
      </c>
      <c r="H62" s="6" t="inlineStr">
        <is>
          <t>Owner</t>
        </is>
      </c>
    </row>
    <row r="63">
      <c r="A63" s="6" t="inlineStr">
        <is>
          <t>S063</t>
        </is>
      </c>
      <c r="B63" s="6" t="inlineStr">
        <is>
          <t>Gameplay</t>
        </is>
      </c>
      <c r="C63" s="6" t="inlineStr">
        <is>
          <t>New world starts with harvester, pipe, chest, diffuser on the hotbar</t>
        </is>
      </c>
      <c r="D63" s="6" t="inlineStr">
        <is>
          <t>Must</t>
        </is>
      </c>
      <c r="E63" s="6" t="inlineStr">
        <is>
          <t>Done</t>
        </is>
      </c>
      <c r="F63" s="6" t="inlineStr"/>
      <c r="G63" s="6" t="inlineStr">
        <is>
          <t>6.0</t>
        </is>
      </c>
      <c r="H63" s="6" t="inlineStr">
        <is>
          <t>Owner</t>
        </is>
      </c>
    </row>
    <row r="64">
      <c r="A64" s="6" t="inlineStr">
        <is>
          <t>S064</t>
        </is>
      </c>
      <c r="B64" s="6" t="inlineStr">
        <is>
          <t>Accessibility</t>
        </is>
      </c>
      <c r="C64" s="6" t="inlineStr">
        <is>
          <t>Colour-vision modes, one per kind of colour blindness</t>
        </is>
      </c>
      <c r="D64" s="6" t="inlineStr">
        <is>
          <t>Should</t>
        </is>
      </c>
      <c r="E64" s="6" t="inlineStr">
        <is>
          <t>Not started</t>
        </is>
      </c>
      <c r="F64" s="6" t="inlineStr">
        <is>
          <t>Owner: red vs blue (pulse spin) must stay unmistakable for each kind. Spin already has non-colour cues (swirl, thread hand, bead turn, corkscrew)</t>
        </is>
      </c>
      <c r="G64" s="6" t="inlineStr">
        <is>
          <t>11.x</t>
        </is>
      </c>
      <c r="H64" s="6" t="inlineStr">
        <is>
          <t>Owner</t>
        </is>
      </c>
    </row>
    <row r="65">
      <c r="A65" s="6" t="inlineStr">
        <is>
          <t>S065</t>
        </is>
      </c>
      <c r="B65" s="6" t="inlineStr">
        <is>
          <t>Industry</t>
        </is>
      </c>
      <c r="C65" s="6" t="inlineStr">
        <is>
          <t>Machines sped up or slowed by time flux</t>
        </is>
      </c>
      <c r="D65" s="6" t="inlineStr">
        <is>
          <t>Could</t>
        </is>
      </c>
      <c r="E65" s="6" t="inlineStr">
        <is>
          <t>Not started</t>
        </is>
      </c>
      <c r="F65" s="6" t="inlineStr">
        <is>
          <t>Owner: pipes and pulse in the air stay unaffected; harvesters are the first</t>
        </is>
      </c>
      <c r="G65" s="6" t="inlineStr">
        <is>
          <t>6.0</t>
        </is>
      </c>
      <c r="H65" s="6" t="inlineStr">
        <is>
          <t>Owner</t>
        </is>
      </c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</row>
  </sheetData>
  <autoFilter ref="A1:H300"/>
  <conditionalFormatting sqref="D2:D30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  <cfRule type="cellIs" priority="4" operator="equal" dxfId="3">
      <formula>"Won't"</formula>
    </cfRule>
  </conditionalFormatting>
  <conditionalFormatting sqref="A2:H300">
    <cfRule type="expression" priority="5" dxfId="4">
      <formula>$E2="Done"</formula>
    </cfRule>
  </conditionalFormatting>
  <dataValidations count="3">
    <dataValidation sqref="D2:D300" showDropDown="0" showInputMessage="0" showErrorMessage="0" allowBlank="1" type="list">
      <formula1>"Must,Should,Could,Won't"</formula1>
    </dataValidation>
    <dataValidation sqref="E2:E300" showDropDown="0" showInputMessage="0" showErrorMessage="0" allowBlank="1" type="list">
      <formula1>"Done,In progress,Not started,Parked"</formula1>
    </dataValidation>
    <dataValidation sqref="H2:H300" showDropDown="0" showInputMessage="0" showErrorMessage="0" allowBlank="1" type="list">
      <formula1>"Owner,Claude (proposed)"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Scope at a glance</t>
        </is>
      </c>
    </row>
    <row r="2">
      <c r="A2" s="8" t="inlineStr">
        <is>
          <t>Counts update from the Scope sheet.</t>
        </is>
      </c>
    </row>
    <row r="4">
      <c r="A4" s="9" t="inlineStr">
        <is>
          <t>Priority</t>
        </is>
      </c>
      <c r="B4" s="9" t="inlineStr">
        <is>
          <t>Done</t>
        </is>
      </c>
      <c r="C4" s="9" t="inlineStr">
        <is>
          <t>In progress</t>
        </is>
      </c>
      <c r="D4" s="9" t="inlineStr">
        <is>
          <t>Not started</t>
        </is>
      </c>
      <c r="E4" s="9" t="inlineStr">
        <is>
          <t>Parked</t>
        </is>
      </c>
      <c r="F4" s="9" t="inlineStr">
        <is>
          <t>Total</t>
        </is>
      </c>
      <c r="G4" s="9" t="inlineStr">
        <is>
          <t>Done %</t>
        </is>
      </c>
    </row>
    <row r="5">
      <c r="A5" s="10" t="inlineStr">
        <is>
          <t>Must</t>
        </is>
      </c>
      <c r="B5" s="10">
        <f>COUNTIFS(Scope!$D$2:$D$300,$A5,Scope!$E$2:$E$300,B$4)</f>
        <v/>
      </c>
      <c r="C5" s="10">
        <f>COUNTIFS(Scope!$D$2:$D$300,$A5,Scope!$E$2:$E$300,C$4)</f>
        <v/>
      </c>
      <c r="D5" s="10">
        <f>COUNTIFS(Scope!$D$2:$D$300,$A5,Scope!$E$2:$E$300,D$4)</f>
        <v/>
      </c>
      <c r="E5" s="10">
        <f>COUNTIFS(Scope!$D$2:$D$300,$A5,Scope!$E$2:$E$300,E$4)</f>
        <v/>
      </c>
      <c r="F5" s="10">
        <f>SUM(B5:E5)</f>
        <v/>
      </c>
      <c r="G5" s="11">
        <f>IF(F5=0,0,B5/F5)</f>
        <v/>
      </c>
    </row>
    <row r="6">
      <c r="A6" s="10" t="inlineStr">
        <is>
          <t>Should</t>
        </is>
      </c>
      <c r="B6" s="10">
        <f>COUNTIFS(Scope!$D$2:$D$300,$A6,Scope!$E$2:$E$300,B$4)</f>
        <v/>
      </c>
      <c r="C6" s="10">
        <f>COUNTIFS(Scope!$D$2:$D$300,$A6,Scope!$E$2:$E$300,C$4)</f>
        <v/>
      </c>
      <c r="D6" s="10">
        <f>COUNTIFS(Scope!$D$2:$D$300,$A6,Scope!$E$2:$E$300,D$4)</f>
        <v/>
      </c>
      <c r="E6" s="10">
        <f>COUNTIFS(Scope!$D$2:$D$300,$A6,Scope!$E$2:$E$300,E$4)</f>
        <v/>
      </c>
      <c r="F6" s="10">
        <f>SUM(B6:E6)</f>
        <v/>
      </c>
      <c r="G6" s="11">
        <f>IF(F6=0,0,B6/F6)</f>
        <v/>
      </c>
    </row>
    <row r="7">
      <c r="A7" s="10" t="inlineStr">
        <is>
          <t>Could</t>
        </is>
      </c>
      <c r="B7" s="10">
        <f>COUNTIFS(Scope!$D$2:$D$300,$A7,Scope!$E$2:$E$300,B$4)</f>
        <v/>
      </c>
      <c r="C7" s="10">
        <f>COUNTIFS(Scope!$D$2:$D$300,$A7,Scope!$E$2:$E$300,C$4)</f>
        <v/>
      </c>
      <c r="D7" s="10">
        <f>COUNTIFS(Scope!$D$2:$D$300,$A7,Scope!$E$2:$E$300,D$4)</f>
        <v/>
      </c>
      <c r="E7" s="10">
        <f>COUNTIFS(Scope!$D$2:$D$300,$A7,Scope!$E$2:$E$300,E$4)</f>
        <v/>
      </c>
      <c r="F7" s="10">
        <f>SUM(B7:E7)</f>
        <v/>
      </c>
      <c r="G7" s="11">
        <f>IF(F7=0,0,B7/F7)</f>
        <v/>
      </c>
    </row>
    <row r="8">
      <c r="A8" s="10" t="inlineStr">
        <is>
          <t>Won't</t>
        </is>
      </c>
      <c r="B8" s="10">
        <f>COUNTIFS(Scope!$D$2:$D$300,$A8,Scope!$E$2:$E$300,B$4)</f>
        <v/>
      </c>
      <c r="C8" s="10">
        <f>COUNTIFS(Scope!$D$2:$D$300,$A8,Scope!$E$2:$E$300,C$4)</f>
        <v/>
      </c>
      <c r="D8" s="10">
        <f>COUNTIFS(Scope!$D$2:$D$300,$A8,Scope!$E$2:$E$300,D$4)</f>
        <v/>
      </c>
      <c r="E8" s="10">
        <f>COUNTIFS(Scope!$D$2:$D$300,$A8,Scope!$E$2:$E$300,E$4)</f>
        <v/>
      </c>
      <c r="F8" s="10">
        <f>SUM(B8:E8)</f>
        <v/>
      </c>
      <c r="G8" s="11">
        <f>IF(F8=0,0,B8/F8)</f>
        <v/>
      </c>
    </row>
    <row r="9">
      <c r="A9" s="12" t="inlineStr">
        <is>
          <t>Total</t>
        </is>
      </c>
      <c r="B9" s="12">
        <f>SUM(B5:B8)</f>
        <v/>
      </c>
      <c r="C9" s="12">
        <f>SUM(C5:C8)</f>
        <v/>
      </c>
      <c r="D9" s="12">
        <f>SUM(D5:D8)</f>
        <v/>
      </c>
      <c r="E9" s="12">
        <f>SUM(E5:E8)</f>
        <v/>
      </c>
      <c r="F9" s="12">
        <f>SUM(F5:F8)</f>
        <v/>
      </c>
      <c r="G9" s="13">
        <f>IF(F9=0,0,B9/F9)</f>
        <v/>
      </c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inlineStr">
        <is>
          <t>Open Musts (not done)</t>
        </is>
      </c>
      <c r="B11" s="10">
        <f>COUNTIFS(Scope!$D$2:$D$300,"Must",Scope!$E$2:$E$300,"&lt;&gt;Done")</f>
        <v/>
      </c>
      <c r="C11" s="10" t="n"/>
      <c r="D11" s="10" t="n"/>
      <c r="E11" s="10" t="n"/>
      <c r="F11" s="10" t="n"/>
      <c r="G11" s="10" t="n"/>
    </row>
    <row r="12">
      <c r="A12" s="10" t="inlineStr">
        <is>
          <t>Proposals awaiting the owner</t>
        </is>
      </c>
      <c r="B12" s="10">
        <f>COUNTIF(Scope!$H$2:$H$300,"Claude (proposed)")</f>
        <v/>
      </c>
      <c r="C12" s="10" t="n"/>
      <c r="D12" s="10" t="n"/>
      <c r="E12" s="10" t="n"/>
      <c r="F12" s="10" t="n"/>
      <c r="G1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2026-09-24T19:48:14Z</dcterms:created>
  <dcterms:modified xsi:type="dcterms:W3CDTF">2026-09-24T23:40:41Z</dcterms:modified>
</cp:coreProperties>
</file>